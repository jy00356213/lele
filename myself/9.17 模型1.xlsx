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工作\E 程序员\"/>
    </mc:Choice>
  </mc:AlternateContent>
  <xr:revisionPtr revIDLastSave="0" documentId="13_ncr:1_{D9523F21-6AF5-4559-9493-9A8831A6407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3" sheetId="4" r:id="rId1"/>
    <sheet name="2" sheetId="2" r:id="rId2"/>
    <sheet name="1" sheetId="1" r:id="rId3"/>
    <sheet name="(圆管)雨污水管径" sheetId="3" r:id="rId4"/>
    <sheet name="(方沟)雨污水管径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7" i="3"/>
  <c r="L17" i="2"/>
  <c r="L16" i="2"/>
  <c r="L15" i="2"/>
  <c r="I53" i="2" s="1"/>
  <c r="H17" i="2"/>
  <c r="H16" i="2"/>
  <c r="H13" i="2"/>
  <c r="H9" i="2"/>
  <c r="J51" i="2"/>
  <c r="J50" i="2"/>
  <c r="J14" i="1"/>
  <c r="J13" i="1"/>
  <c r="I14" i="1"/>
  <c r="I13" i="1"/>
  <c r="I52" i="2" l="1"/>
  <c r="H10" i="2"/>
  <c r="H15" i="2" s="1"/>
  <c r="I51" i="2" s="1"/>
  <c r="I50" i="2" l="1"/>
</calcChain>
</file>

<file path=xl/sharedStrings.xml><?xml version="1.0" encoding="utf-8"?>
<sst xmlns="http://schemas.openxmlformats.org/spreadsheetml/2006/main" count="91" uniqueCount="70">
  <si>
    <t>雨水</t>
    <phoneticPr fontId="3" type="noConversion"/>
  </si>
  <si>
    <t>污水</t>
    <phoneticPr fontId="3" type="noConversion"/>
  </si>
  <si>
    <t>供水</t>
    <phoneticPr fontId="3" type="noConversion"/>
  </si>
  <si>
    <t>再生水</t>
    <phoneticPr fontId="3" type="noConversion"/>
  </si>
  <si>
    <t>地面高</t>
    <phoneticPr fontId="3" type="noConversion"/>
  </si>
  <si>
    <t>雨水管外顶距地面</t>
    <phoneticPr fontId="3" type="noConversion"/>
  </si>
  <si>
    <t>供水管道距地面覆土</t>
    <phoneticPr fontId="3" type="noConversion"/>
  </si>
  <si>
    <t>供水管道与雨水管道管间距</t>
    <phoneticPr fontId="3" type="noConversion"/>
  </si>
  <si>
    <t>供水管道管径</t>
    <phoneticPr fontId="3" type="noConversion"/>
  </si>
  <si>
    <t>供水管道能否放在雨水之上</t>
    <phoneticPr fontId="3" type="noConversion"/>
  </si>
  <si>
    <t>规范要求供水管道覆土</t>
    <phoneticPr fontId="3" type="noConversion"/>
  </si>
  <si>
    <t>供水管道管壁厚度</t>
    <phoneticPr fontId="3" type="noConversion"/>
  </si>
  <si>
    <t>供水管道的管外顶高程</t>
    <phoneticPr fontId="3" type="noConversion"/>
  </si>
  <si>
    <t>供水管道的管外底高程</t>
    <phoneticPr fontId="3" type="noConversion"/>
  </si>
  <si>
    <t>变</t>
    <phoneticPr fontId="3" type="noConversion"/>
  </si>
  <si>
    <t>常</t>
    <phoneticPr fontId="3" type="noConversion"/>
  </si>
  <si>
    <t>第一步  判断能否安排在雨水之上</t>
    <phoneticPr fontId="3" type="noConversion"/>
  </si>
  <si>
    <t>执行完毕</t>
    <phoneticPr fontId="3" type="noConversion"/>
  </si>
  <si>
    <t>供水管道能否放在雨、污水之间</t>
    <phoneticPr fontId="3" type="noConversion"/>
  </si>
  <si>
    <t>判断能否安排在雨、污水之间</t>
    <phoneticPr fontId="3" type="noConversion"/>
  </si>
  <si>
    <t>供水管道与污水管道管间距</t>
    <phoneticPr fontId="3" type="noConversion"/>
  </si>
  <si>
    <t>没有污水管道的情况</t>
    <phoneticPr fontId="3" type="noConversion"/>
  </si>
  <si>
    <t>管径</t>
    <phoneticPr fontId="3" type="noConversion"/>
  </si>
  <si>
    <t>管壁厚</t>
    <phoneticPr fontId="3" type="noConversion"/>
  </si>
  <si>
    <t>内径</t>
    <phoneticPr fontId="3" type="noConversion"/>
  </si>
  <si>
    <t>基础</t>
    <phoneticPr fontId="3" type="noConversion"/>
  </si>
  <si>
    <t>DN400</t>
    <phoneticPr fontId="3" type="noConversion"/>
  </si>
  <si>
    <t>DN500</t>
    <phoneticPr fontId="3" type="noConversion"/>
  </si>
  <si>
    <t>DN600</t>
  </si>
  <si>
    <t>DN700</t>
  </si>
  <si>
    <t>DN800</t>
  </si>
  <si>
    <t>DN900</t>
  </si>
  <si>
    <t>DN1000</t>
  </si>
  <si>
    <t>DN1100</t>
  </si>
  <si>
    <t>DN1200</t>
  </si>
  <si>
    <t>DN1400</t>
  </si>
  <si>
    <t>DN1500</t>
  </si>
  <si>
    <t>DN1600</t>
  </si>
  <si>
    <t>DN1800</t>
  </si>
  <si>
    <t>DN2000</t>
  </si>
  <si>
    <t>DN2200</t>
  </si>
  <si>
    <t>DN2400</t>
  </si>
  <si>
    <t>DN2600</t>
  </si>
  <si>
    <t>DN2800</t>
  </si>
  <si>
    <t>DN3000</t>
  </si>
  <si>
    <t>DN1650</t>
    <phoneticPr fontId="3" type="noConversion"/>
  </si>
  <si>
    <t>DN1350</t>
    <phoneticPr fontId="3" type="noConversion"/>
  </si>
  <si>
    <t>□1000×1000</t>
    <phoneticPr fontId="3" type="noConversion"/>
  </si>
  <si>
    <t>高度</t>
    <phoneticPr fontId="3" type="noConversion"/>
  </si>
  <si>
    <t>盖板</t>
    <phoneticPr fontId="3" type="noConversion"/>
  </si>
  <si>
    <t>□1200×1000</t>
    <phoneticPr fontId="3" type="noConversion"/>
  </si>
  <si>
    <t>□1200×1200</t>
    <phoneticPr fontId="3" type="noConversion"/>
  </si>
  <si>
    <t>□1400×1200</t>
    <phoneticPr fontId="3" type="noConversion"/>
  </si>
  <si>
    <t>□1400×1000</t>
    <phoneticPr fontId="3" type="noConversion"/>
  </si>
  <si>
    <t>□1400×1400</t>
    <phoneticPr fontId="3" type="noConversion"/>
  </si>
  <si>
    <t>□1600×1000</t>
    <phoneticPr fontId="3" type="noConversion"/>
  </si>
  <si>
    <t>□1600×1200</t>
    <phoneticPr fontId="3" type="noConversion"/>
  </si>
  <si>
    <t>□1600×1400</t>
    <phoneticPr fontId="3" type="noConversion"/>
  </si>
  <si>
    <t>□1600×1600</t>
    <phoneticPr fontId="3" type="noConversion"/>
  </si>
  <si>
    <t>□1800×1000</t>
    <phoneticPr fontId="3" type="noConversion"/>
  </si>
  <si>
    <t>□1800×1200</t>
    <phoneticPr fontId="3" type="noConversion"/>
  </si>
  <si>
    <t>□1800×1400</t>
  </si>
  <si>
    <t>□1800×1600</t>
  </si>
  <si>
    <t>□1800×1800</t>
  </si>
  <si>
    <t>□2000×1000</t>
    <phoneticPr fontId="3" type="noConversion"/>
  </si>
  <si>
    <t>□2000×1200</t>
    <phoneticPr fontId="3" type="noConversion"/>
  </si>
  <si>
    <t>□2000×1400</t>
  </si>
  <si>
    <t>□2000×1600</t>
  </si>
  <si>
    <t>□2000×1800</t>
  </si>
  <si>
    <t>□2000×2000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</si>
</sst>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" xfId="1" applyBorder="1" applyAlignment="1"/>
    <xf numFmtId="0" fontId="1" fillId="2" borderId="2" xfId="1" applyBorder="1" applyAlignment="1"/>
    <xf numFmtId="0" fontId="1" fillId="2" borderId="3" xfId="1" applyBorder="1" applyAlignme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4" xfId="1" applyBorder="1" applyAlignment="1"/>
    <xf numFmtId="0" fontId="1" fillId="2" borderId="5" xfId="1" applyBorder="1" applyAlignment="1"/>
    <xf numFmtId="0" fontId="1" fillId="2" borderId="6" xfId="1" applyBorder="1" applyAlignment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0" xfId="2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BDF1-DD8F-4FD9-AB2E-B06C6FEAAB19}">
  <sheetPr codeName="Sheet1"/>
  <dimension ref="A1"/>
  <sheetViews>
    <sheetView workbookViewId="0">
      <selection activeCell="E82" sqref="E82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4648-6601-4BA6-B5CD-A6D2DB26C25D}">
  <sheetPr codeName="Sheet2"/>
  <dimension ref="F7:L53"/>
  <sheetViews>
    <sheetView workbookViewId="0">
      <selection activeCell="J22" sqref="J22"/>
    </sheetView>
  </sheetViews>
  <sheetFormatPr defaultRowHeight="14.25" x14ac:dyDescent="0.2"/>
  <cols>
    <col min="7" max="7" width="24.125" bestFit="1" customWidth="1"/>
    <col min="10" max="10" width="6.625" bestFit="1" customWidth="1"/>
    <col min="11" max="11" width="24.125" bestFit="1" customWidth="1"/>
  </cols>
  <sheetData>
    <row r="7" spans="6:12" ht="28.5" customHeight="1" thickBot="1" x14ac:dyDescent="0.25">
      <c r="F7" s="24" t="s">
        <v>16</v>
      </c>
      <c r="G7" s="24"/>
      <c r="H7" s="24"/>
      <c r="J7" s="21" t="s">
        <v>19</v>
      </c>
      <c r="K7" s="21"/>
      <c r="L7" s="21"/>
    </row>
    <row r="8" spans="6:12" ht="15" thickTop="1" x14ac:dyDescent="0.2">
      <c r="F8" s="4" t="s">
        <v>15</v>
      </c>
      <c r="G8" s="5" t="s">
        <v>4</v>
      </c>
      <c r="H8" s="6">
        <v>37.5</v>
      </c>
      <c r="J8" s="18"/>
      <c r="K8" s="19"/>
      <c r="L8" s="20"/>
    </row>
    <row r="9" spans="6:12" x14ac:dyDescent="0.2">
      <c r="F9" s="7" t="s">
        <v>14</v>
      </c>
      <c r="G9" s="8" t="s">
        <v>5</v>
      </c>
      <c r="H9" s="9">
        <f>H8-H50</f>
        <v>0.5</v>
      </c>
      <c r="J9" s="7"/>
      <c r="K9" s="8"/>
      <c r="L9" s="9"/>
    </row>
    <row r="10" spans="6:12" x14ac:dyDescent="0.2">
      <c r="F10" s="7" t="s">
        <v>14</v>
      </c>
      <c r="G10" s="8" t="s">
        <v>6</v>
      </c>
      <c r="H10" s="9">
        <f>H9-H11-I49-H13</f>
        <v>-0.19000000000000003</v>
      </c>
      <c r="J10" s="7"/>
      <c r="K10" s="8"/>
      <c r="L10" s="9"/>
    </row>
    <row r="11" spans="6:12" x14ac:dyDescent="0.2">
      <c r="F11" s="10" t="s">
        <v>15</v>
      </c>
      <c r="G11" s="11" t="s">
        <v>7</v>
      </c>
      <c r="H11" s="12">
        <v>0.25</v>
      </c>
      <c r="J11" s="10" t="s">
        <v>15</v>
      </c>
      <c r="K11" s="10" t="s">
        <v>20</v>
      </c>
      <c r="L11" s="9">
        <v>0.25</v>
      </c>
    </row>
    <row r="12" spans="6:12" x14ac:dyDescent="0.2">
      <c r="F12" s="10" t="s">
        <v>15</v>
      </c>
      <c r="G12" s="11" t="s">
        <v>8</v>
      </c>
      <c r="H12" s="12">
        <v>0.4</v>
      </c>
      <c r="J12" s="7"/>
      <c r="K12" s="8"/>
      <c r="L12" s="9"/>
    </row>
    <row r="13" spans="6:12" x14ac:dyDescent="0.2">
      <c r="F13" s="7" t="s">
        <v>14</v>
      </c>
      <c r="G13" s="8" t="s">
        <v>11</v>
      </c>
      <c r="H13" s="9">
        <f>H12/10</f>
        <v>0.04</v>
      </c>
      <c r="J13" s="7"/>
      <c r="K13" s="8"/>
      <c r="L13" s="9"/>
    </row>
    <row r="14" spans="6:12" x14ac:dyDescent="0.2">
      <c r="F14" s="10" t="s">
        <v>15</v>
      </c>
      <c r="G14" s="11" t="s">
        <v>10</v>
      </c>
      <c r="H14" s="12">
        <v>0.8</v>
      </c>
      <c r="J14" s="7"/>
      <c r="K14" s="8"/>
      <c r="L14" s="9"/>
    </row>
    <row r="15" spans="6:12" x14ac:dyDescent="0.2">
      <c r="F15" s="7" t="s">
        <v>14</v>
      </c>
      <c r="G15" s="8" t="s">
        <v>9</v>
      </c>
      <c r="H15" s="13" t="str">
        <f>IF((H10&gt;=H14),"yes","no")</f>
        <v>no</v>
      </c>
      <c r="J15" s="7" t="s">
        <v>14</v>
      </c>
      <c r="K15" s="8" t="s">
        <v>18</v>
      </c>
      <c r="L15" s="13" t="str">
        <f>IF(((H50-H52-L11-H11)&gt;=H12),"yes","no")</f>
        <v>yes</v>
      </c>
    </row>
    <row r="16" spans="6:12" x14ac:dyDescent="0.2">
      <c r="F16" s="7" t="s">
        <v>14</v>
      </c>
      <c r="G16" s="8" t="s">
        <v>13</v>
      </c>
      <c r="H16" s="9">
        <f>H50+H11</f>
        <v>37.25</v>
      </c>
      <c r="J16" s="7" t="s">
        <v>14</v>
      </c>
      <c r="K16" s="8" t="s">
        <v>13</v>
      </c>
      <c r="L16" s="9">
        <f>H52+L11</f>
        <v>36.25</v>
      </c>
    </row>
    <row r="17" spans="6:12" ht="15" thickBot="1" x14ac:dyDescent="0.25">
      <c r="F17" s="14" t="s">
        <v>14</v>
      </c>
      <c r="G17" s="15" t="s">
        <v>12</v>
      </c>
      <c r="H17" s="16">
        <f>H50-H11</f>
        <v>36.75</v>
      </c>
      <c r="J17" s="14" t="s">
        <v>14</v>
      </c>
      <c r="K17" s="15" t="s">
        <v>12</v>
      </c>
      <c r="L17" s="16">
        <f>H52-L11</f>
        <v>35.75</v>
      </c>
    </row>
    <row r="18" spans="6:12" ht="15" thickTop="1" x14ac:dyDescent="0.2"/>
    <row r="21" spans="6:12" x14ac:dyDescent="0.2">
      <c r="J21" s="22" t="s">
        <v>21</v>
      </c>
      <c r="K21" s="22"/>
      <c r="L21" s="22"/>
    </row>
    <row r="22" spans="6:12" x14ac:dyDescent="0.2">
      <c r="G22" s="17" t="s">
        <v>17</v>
      </c>
    </row>
    <row r="48" spans="9:10" x14ac:dyDescent="0.2">
      <c r="I48" s="3" t="s">
        <v>2</v>
      </c>
      <c r="J48" s="3" t="s">
        <v>3</v>
      </c>
    </row>
    <row r="49" spans="7:10" x14ac:dyDescent="0.2">
      <c r="I49" s="1">
        <v>0.4</v>
      </c>
      <c r="J49" s="1">
        <v>0.2</v>
      </c>
    </row>
    <row r="50" spans="7:10" x14ac:dyDescent="0.2">
      <c r="G50" s="23" t="s">
        <v>0</v>
      </c>
      <c r="H50" s="23">
        <v>37</v>
      </c>
      <c r="I50" s="2">
        <f>IF((H15="yes"),H16,H50)</f>
        <v>37</v>
      </c>
      <c r="J50" s="2">
        <f>IF(H50&lt;J49,H50,J49)</f>
        <v>0.2</v>
      </c>
    </row>
    <row r="51" spans="7:10" x14ac:dyDescent="0.2">
      <c r="G51" s="23"/>
      <c r="H51" s="23"/>
      <c r="I51" s="2">
        <f>IF((H15="no"),H17,H50)</f>
        <v>36.75</v>
      </c>
      <c r="J51" s="2">
        <f>IF(H50&gt;J49,H50,J49)</f>
        <v>37</v>
      </c>
    </row>
    <row r="52" spans="7:10" x14ac:dyDescent="0.2">
      <c r="G52" s="23" t="s">
        <v>1</v>
      </c>
      <c r="H52" s="23">
        <v>36</v>
      </c>
      <c r="I52">
        <f>IF((L15="yes"),L16,H52)</f>
        <v>36.25</v>
      </c>
    </row>
    <row r="53" spans="7:10" x14ac:dyDescent="0.2">
      <c r="G53" s="23"/>
      <c r="H53" s="23"/>
      <c r="I53">
        <f>IF((L15="no"),L17,H52)</f>
        <v>36</v>
      </c>
    </row>
  </sheetData>
  <mergeCells count="7">
    <mergeCell ref="J7:L7"/>
    <mergeCell ref="J21:L21"/>
    <mergeCell ref="G50:G51"/>
    <mergeCell ref="H50:H51"/>
    <mergeCell ref="G52:G53"/>
    <mergeCell ref="H52:H53"/>
    <mergeCell ref="F7:H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G8:J16"/>
  <sheetViews>
    <sheetView tabSelected="1" workbookViewId="0">
      <selection activeCell="I12" sqref="I12"/>
    </sheetView>
  </sheetViews>
  <sheetFormatPr defaultRowHeight="14.25" x14ac:dyDescent="0.2"/>
  <sheetData>
    <row r="8" spans="7:10" x14ac:dyDescent="0.2">
      <c r="G8" t="s">
        <v>4</v>
      </c>
      <c r="H8">
        <v>37.5</v>
      </c>
    </row>
    <row r="11" spans="7:10" x14ac:dyDescent="0.2">
      <c r="I11" s="3" t="s">
        <v>2</v>
      </c>
      <c r="J11" s="3" t="s">
        <v>3</v>
      </c>
    </row>
    <row r="12" spans="7:10" x14ac:dyDescent="0.2">
      <c r="I12" s="1">
        <v>34.229999999999997</v>
      </c>
      <c r="J12" s="1">
        <v>35.200000000000003</v>
      </c>
    </row>
    <row r="13" spans="7:10" x14ac:dyDescent="0.2">
      <c r="G13" s="25" t="s">
        <v>0</v>
      </c>
      <c r="H13" s="25">
        <v>36</v>
      </c>
      <c r="I13">
        <f>IF(H13&lt;I12,H13,I12)</f>
        <v>34.229999999999997</v>
      </c>
      <c r="J13">
        <f>IF(H13&lt;J12,H13,J12)</f>
        <v>35.200000000000003</v>
      </c>
    </row>
    <row r="14" spans="7:10" x14ac:dyDescent="0.2">
      <c r="G14" s="25"/>
      <c r="H14" s="25"/>
      <c r="I14">
        <f>IF(H13&gt;I12,H13,I12)</f>
        <v>36</v>
      </c>
      <c r="J14">
        <f>IF(H13&lt;J12,H13,J12)</f>
        <v>35.200000000000003</v>
      </c>
    </row>
    <row r="15" spans="7:10" x14ac:dyDescent="0.2">
      <c r="G15" s="25" t="s">
        <v>1</v>
      </c>
      <c r="H15" s="25">
        <v>33.5</v>
      </c>
    </row>
    <row r="16" spans="7:10" x14ac:dyDescent="0.2">
      <c r="G16" s="25"/>
      <c r="H16" s="25"/>
    </row>
  </sheetData>
  <mergeCells count="4">
    <mergeCell ref="H13:H14"/>
    <mergeCell ref="H15:H16"/>
    <mergeCell ref="G13:G14"/>
    <mergeCell ref="G15:G1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44B8-C68C-44CA-9D2C-17D92F2200BA}">
  <sheetPr codeName="Sheet4"/>
  <dimension ref="A1:D22"/>
  <sheetViews>
    <sheetView workbookViewId="0">
      <selection activeCell="F13" sqref="F13"/>
    </sheetView>
  </sheetViews>
  <sheetFormatPr defaultRowHeight="14.25" x14ac:dyDescent="0.2"/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  <row r="2" spans="1:4" x14ac:dyDescent="0.2">
      <c r="A2" t="s">
        <v>26</v>
      </c>
      <c r="B2" s="1">
        <v>0.04</v>
      </c>
      <c r="C2">
        <v>0.4</v>
      </c>
      <c r="D2">
        <v>0.1</v>
      </c>
    </row>
    <row r="3" spans="1:4" x14ac:dyDescent="0.2">
      <c r="A3" t="s">
        <v>27</v>
      </c>
      <c r="B3" s="1">
        <v>0.05</v>
      </c>
      <c r="C3">
        <v>0.5</v>
      </c>
      <c r="D3">
        <v>0.1</v>
      </c>
    </row>
    <row r="4" spans="1:4" x14ac:dyDescent="0.2">
      <c r="A4" t="s">
        <v>28</v>
      </c>
      <c r="B4" s="1">
        <v>0.06</v>
      </c>
      <c r="C4">
        <v>0.6</v>
      </c>
      <c r="D4">
        <v>0.11</v>
      </c>
    </row>
    <row r="5" spans="1:4" x14ac:dyDescent="0.2">
      <c r="A5" t="s">
        <v>29</v>
      </c>
      <c r="B5" s="1">
        <v>7.0000000000000007E-2</v>
      </c>
      <c r="C5">
        <v>0.7</v>
      </c>
      <c r="D5">
        <v>0.11</v>
      </c>
    </row>
    <row r="6" spans="1:4" x14ac:dyDescent="0.2">
      <c r="A6" t="s">
        <v>30</v>
      </c>
      <c r="B6" s="1">
        <v>0.08</v>
      </c>
      <c r="C6">
        <v>0.8</v>
      </c>
      <c r="D6">
        <v>0.12</v>
      </c>
    </row>
    <row r="7" spans="1:4" x14ac:dyDescent="0.2">
      <c r="A7" t="s">
        <v>31</v>
      </c>
      <c r="B7" s="1">
        <v>0.09</v>
      </c>
      <c r="C7">
        <f>B7*10</f>
        <v>0.89999999999999991</v>
      </c>
      <c r="D7">
        <v>0.13</v>
      </c>
    </row>
    <row r="8" spans="1:4" x14ac:dyDescent="0.2">
      <c r="A8" t="s">
        <v>32</v>
      </c>
      <c r="B8" s="1">
        <v>0.1</v>
      </c>
      <c r="C8">
        <f t="shared" ref="C8:C22" si="0">B8*10</f>
        <v>1</v>
      </c>
      <c r="D8">
        <v>0.14000000000000001</v>
      </c>
    </row>
    <row r="9" spans="1:4" x14ac:dyDescent="0.2">
      <c r="A9" t="s">
        <v>33</v>
      </c>
      <c r="B9" s="1">
        <v>0.11</v>
      </c>
      <c r="C9">
        <f t="shared" si="0"/>
        <v>1.1000000000000001</v>
      </c>
      <c r="D9">
        <v>0.14299999999999999</v>
      </c>
    </row>
    <row r="10" spans="1:4" x14ac:dyDescent="0.2">
      <c r="A10" t="s">
        <v>34</v>
      </c>
      <c r="B10" s="1">
        <v>0.12</v>
      </c>
      <c r="C10">
        <f t="shared" si="0"/>
        <v>1.2</v>
      </c>
      <c r="D10">
        <v>0.16</v>
      </c>
    </row>
    <row r="11" spans="1:4" x14ac:dyDescent="0.2">
      <c r="A11" t="s">
        <v>46</v>
      </c>
      <c r="B11" s="1">
        <v>0.13500000000000001</v>
      </c>
      <c r="C11">
        <f t="shared" si="0"/>
        <v>1.35</v>
      </c>
      <c r="D11">
        <v>0.17299999999999999</v>
      </c>
    </row>
    <row r="12" spans="1:4" x14ac:dyDescent="0.2">
      <c r="A12" t="s">
        <v>35</v>
      </c>
      <c r="B12" s="1">
        <v>0.14000000000000001</v>
      </c>
      <c r="C12">
        <f t="shared" si="0"/>
        <v>1.4000000000000001</v>
      </c>
      <c r="D12">
        <v>0.18</v>
      </c>
    </row>
    <row r="13" spans="1:4" x14ac:dyDescent="0.2">
      <c r="A13" t="s">
        <v>36</v>
      </c>
      <c r="B13" s="1">
        <v>0.15</v>
      </c>
      <c r="C13">
        <f t="shared" si="0"/>
        <v>1.5</v>
      </c>
      <c r="D13">
        <v>0.188</v>
      </c>
    </row>
    <row r="14" spans="1:4" x14ac:dyDescent="0.2">
      <c r="A14" t="s">
        <v>37</v>
      </c>
      <c r="B14" s="1">
        <v>0.16</v>
      </c>
      <c r="C14">
        <f t="shared" si="0"/>
        <v>1.6</v>
      </c>
      <c r="D14">
        <v>0.2</v>
      </c>
    </row>
    <row r="15" spans="1:4" x14ac:dyDescent="0.2">
      <c r="A15" t="s">
        <v>45</v>
      </c>
      <c r="B15" s="1">
        <v>0.16500000000000001</v>
      </c>
      <c r="C15">
        <f t="shared" si="0"/>
        <v>1.6500000000000001</v>
      </c>
      <c r="D15">
        <v>0.21</v>
      </c>
    </row>
    <row r="16" spans="1:4" x14ac:dyDescent="0.2">
      <c r="A16" t="s">
        <v>38</v>
      </c>
      <c r="B16" s="1">
        <v>0.18</v>
      </c>
      <c r="C16">
        <f t="shared" si="0"/>
        <v>1.7999999999999998</v>
      </c>
      <c r="D16">
        <v>0.22500000000000001</v>
      </c>
    </row>
    <row r="17" spans="1:4" x14ac:dyDescent="0.2">
      <c r="A17" t="s">
        <v>39</v>
      </c>
      <c r="B17" s="1">
        <v>0.2</v>
      </c>
      <c r="C17">
        <f t="shared" si="0"/>
        <v>2</v>
      </c>
      <c r="D17">
        <v>0.26</v>
      </c>
    </row>
    <row r="18" spans="1:4" x14ac:dyDescent="0.2">
      <c r="A18" t="s">
        <v>40</v>
      </c>
      <c r="B18" s="1">
        <v>0.22</v>
      </c>
      <c r="C18">
        <f t="shared" si="0"/>
        <v>2.2000000000000002</v>
      </c>
      <c r="D18">
        <v>0.27800000000000002</v>
      </c>
    </row>
    <row r="19" spans="1:4" x14ac:dyDescent="0.2">
      <c r="A19" t="s">
        <v>41</v>
      </c>
      <c r="B19" s="1">
        <v>0.24</v>
      </c>
      <c r="C19">
        <f t="shared" si="0"/>
        <v>2.4</v>
      </c>
      <c r="D19">
        <v>0.3</v>
      </c>
    </row>
    <row r="20" spans="1:4" x14ac:dyDescent="0.2">
      <c r="A20" t="s">
        <v>42</v>
      </c>
      <c r="B20" s="1">
        <v>0.26</v>
      </c>
      <c r="C20">
        <f t="shared" si="0"/>
        <v>2.6</v>
      </c>
      <c r="D20">
        <v>0.33</v>
      </c>
    </row>
    <row r="21" spans="1:4" x14ac:dyDescent="0.2">
      <c r="A21" t="s">
        <v>43</v>
      </c>
      <c r="B21" s="1">
        <v>0.28000000000000003</v>
      </c>
      <c r="C21">
        <f t="shared" si="0"/>
        <v>2.8000000000000003</v>
      </c>
      <c r="D21">
        <v>0.35299999999999998</v>
      </c>
    </row>
    <row r="22" spans="1:4" x14ac:dyDescent="0.2">
      <c r="A22" t="s">
        <v>44</v>
      </c>
      <c r="B22" s="1">
        <v>0.3</v>
      </c>
      <c r="C22">
        <f t="shared" si="0"/>
        <v>3</v>
      </c>
      <c r="D22">
        <v>0.375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B9D5-CF48-427C-9580-A18D84F01A5B}">
  <sheetPr codeName="Sheet5"/>
  <dimension ref="A1:D22"/>
  <sheetViews>
    <sheetView workbookViewId="0">
      <selection activeCell="E36" sqref="E36"/>
    </sheetView>
  </sheetViews>
  <sheetFormatPr defaultRowHeight="14.25" x14ac:dyDescent="0.2"/>
  <cols>
    <col min="1" max="1" width="24.125" customWidth="1"/>
  </cols>
  <sheetData>
    <row r="1" spans="1:4" x14ac:dyDescent="0.2">
      <c r="A1" t="s">
        <v>22</v>
      </c>
      <c r="B1" t="s">
        <v>48</v>
      </c>
      <c r="C1" t="s">
        <v>49</v>
      </c>
      <c r="D1" t="s">
        <v>25</v>
      </c>
    </row>
    <row r="2" spans="1:4" x14ac:dyDescent="0.2">
      <c r="A2" t="s">
        <v>47</v>
      </c>
      <c r="B2" s="1">
        <v>1</v>
      </c>
      <c r="C2">
        <v>0.12</v>
      </c>
      <c r="D2">
        <v>0.26</v>
      </c>
    </row>
    <row r="3" spans="1:4" x14ac:dyDescent="0.2">
      <c r="A3" t="s">
        <v>50</v>
      </c>
      <c r="B3" s="1">
        <v>1</v>
      </c>
      <c r="C3">
        <v>0.14000000000000001</v>
      </c>
      <c r="D3">
        <v>0.28000000000000003</v>
      </c>
    </row>
    <row r="4" spans="1:4" x14ac:dyDescent="0.2">
      <c r="A4" t="s">
        <v>51</v>
      </c>
      <c r="B4" s="1">
        <v>1.2</v>
      </c>
      <c r="C4">
        <v>0.14000000000000001</v>
      </c>
      <c r="D4">
        <v>0.28000000000000003</v>
      </c>
    </row>
    <row r="5" spans="1:4" x14ac:dyDescent="0.2">
      <c r="A5" t="s">
        <v>53</v>
      </c>
      <c r="B5" s="1">
        <v>1</v>
      </c>
      <c r="C5">
        <v>0.14000000000000001</v>
      </c>
      <c r="D5">
        <v>0.28000000000000003</v>
      </c>
    </row>
    <row r="6" spans="1:4" x14ac:dyDescent="0.2">
      <c r="A6" t="s">
        <v>52</v>
      </c>
      <c r="B6" s="1">
        <v>1.2</v>
      </c>
      <c r="C6">
        <v>0.14000000000000001</v>
      </c>
      <c r="D6">
        <v>0.28000000000000003</v>
      </c>
    </row>
    <row r="7" spans="1:4" x14ac:dyDescent="0.2">
      <c r="A7" t="s">
        <v>54</v>
      </c>
      <c r="B7" s="1">
        <v>1.4</v>
      </c>
      <c r="C7">
        <v>0.14000000000000001</v>
      </c>
      <c r="D7">
        <v>0.28000000000000003</v>
      </c>
    </row>
    <row r="8" spans="1:4" x14ac:dyDescent="0.2">
      <c r="A8" t="s">
        <v>55</v>
      </c>
      <c r="B8" s="1">
        <v>1</v>
      </c>
      <c r="C8">
        <v>0.16</v>
      </c>
      <c r="D8">
        <v>0.3</v>
      </c>
    </row>
    <row r="9" spans="1:4" x14ac:dyDescent="0.2">
      <c r="A9" t="s">
        <v>56</v>
      </c>
      <c r="B9" s="1">
        <v>1.2</v>
      </c>
      <c r="C9">
        <v>0.16</v>
      </c>
      <c r="D9">
        <v>0.3</v>
      </c>
    </row>
    <row r="10" spans="1:4" x14ac:dyDescent="0.2">
      <c r="A10" t="s">
        <v>57</v>
      </c>
      <c r="B10" s="1">
        <v>1.4</v>
      </c>
      <c r="C10">
        <v>0.16</v>
      </c>
      <c r="D10">
        <v>0.3</v>
      </c>
    </row>
    <row r="11" spans="1:4" x14ac:dyDescent="0.2">
      <c r="A11" t="s">
        <v>58</v>
      </c>
      <c r="B11" s="1">
        <v>1.6</v>
      </c>
      <c r="C11">
        <v>0.16</v>
      </c>
      <c r="D11">
        <v>0.3</v>
      </c>
    </row>
    <row r="12" spans="1:4" x14ac:dyDescent="0.2">
      <c r="A12" t="s">
        <v>59</v>
      </c>
      <c r="B12" s="1">
        <v>1</v>
      </c>
      <c r="C12">
        <v>0.18</v>
      </c>
      <c r="D12">
        <v>0.32</v>
      </c>
    </row>
    <row r="13" spans="1:4" x14ac:dyDescent="0.2">
      <c r="A13" t="s">
        <v>60</v>
      </c>
      <c r="B13" s="1">
        <v>1.2</v>
      </c>
      <c r="C13">
        <v>0.18</v>
      </c>
      <c r="D13">
        <v>0.32</v>
      </c>
    </row>
    <row r="14" spans="1:4" x14ac:dyDescent="0.2">
      <c r="A14" t="s">
        <v>61</v>
      </c>
      <c r="B14" s="1">
        <v>1.4</v>
      </c>
      <c r="C14">
        <v>0.18</v>
      </c>
      <c r="D14">
        <v>0.32</v>
      </c>
    </row>
    <row r="15" spans="1:4" x14ac:dyDescent="0.2">
      <c r="A15" t="s">
        <v>62</v>
      </c>
      <c r="B15" s="1">
        <v>1.6</v>
      </c>
      <c r="C15">
        <v>0.18</v>
      </c>
      <c r="D15">
        <v>0.32</v>
      </c>
    </row>
    <row r="16" spans="1:4" x14ac:dyDescent="0.2">
      <c r="A16" t="s">
        <v>63</v>
      </c>
      <c r="B16" s="1">
        <v>1.8</v>
      </c>
      <c r="C16">
        <v>0.18</v>
      </c>
      <c r="D16">
        <v>0.32</v>
      </c>
    </row>
    <row r="17" spans="1:4" x14ac:dyDescent="0.2">
      <c r="A17" t="s">
        <v>64</v>
      </c>
      <c r="B17" s="1">
        <v>1</v>
      </c>
      <c r="C17">
        <v>0.18</v>
      </c>
      <c r="D17">
        <v>0.32</v>
      </c>
    </row>
    <row r="18" spans="1:4" x14ac:dyDescent="0.2">
      <c r="A18" t="s">
        <v>65</v>
      </c>
      <c r="B18" s="1">
        <v>1.2</v>
      </c>
      <c r="C18">
        <v>0.18</v>
      </c>
      <c r="D18">
        <v>0.32</v>
      </c>
    </row>
    <row r="19" spans="1:4" x14ac:dyDescent="0.2">
      <c r="A19" t="s">
        <v>66</v>
      </c>
      <c r="B19" s="1">
        <v>1.4</v>
      </c>
      <c r="C19">
        <v>0.18</v>
      </c>
      <c r="D19">
        <v>0.32</v>
      </c>
    </row>
    <row r="20" spans="1:4" x14ac:dyDescent="0.2">
      <c r="A20" t="s">
        <v>67</v>
      </c>
      <c r="B20" s="1">
        <v>1.6</v>
      </c>
      <c r="C20">
        <v>0.18</v>
      </c>
      <c r="D20">
        <v>0.32</v>
      </c>
    </row>
    <row r="21" spans="1:4" x14ac:dyDescent="0.2">
      <c r="A21" t="s">
        <v>68</v>
      </c>
      <c r="B21" s="1">
        <v>1.8</v>
      </c>
      <c r="C21">
        <v>0.18</v>
      </c>
      <c r="D21">
        <v>0.32</v>
      </c>
    </row>
    <row r="22" spans="1:4" x14ac:dyDescent="0.2">
      <c r="A22" t="s">
        <v>69</v>
      </c>
      <c r="B22" s="1">
        <v>2</v>
      </c>
      <c r="C22">
        <v>0.18</v>
      </c>
      <c r="D22">
        <v>0.32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2</vt:lpstr>
      <vt:lpstr>1</vt:lpstr>
      <vt:lpstr>(圆管)雨污水管径</vt:lpstr>
      <vt:lpstr>(方沟)雨污水管径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</dc:creator>
  <cp:lastModifiedBy>lee lel</cp:lastModifiedBy>
  <dcterms:created xsi:type="dcterms:W3CDTF">2015-06-05T18:19:34Z</dcterms:created>
  <dcterms:modified xsi:type="dcterms:W3CDTF">2023-12-11T13:46:49Z</dcterms:modified>
</cp:coreProperties>
</file>